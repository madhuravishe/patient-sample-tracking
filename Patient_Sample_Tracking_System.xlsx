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Patient Name</t>
        </is>
      </c>
      <c r="C1" s="1" t="inlineStr">
        <is>
          <t>Test Type</t>
        </is>
      </c>
      <c r="D1" s="1" t="inlineStr">
        <is>
          <t>Collection Date</t>
        </is>
      </c>
      <c r="E1" s="1" t="inlineStr">
        <is>
          <t>Status</t>
        </is>
      </c>
      <c r="F1" s="1" t="inlineStr">
        <is>
          <t>Technician</t>
        </is>
      </c>
      <c r="G1" s="1" t="inlineStr">
        <is>
          <t>Result Value</t>
        </is>
      </c>
      <c r="H1" s="1" t="inlineStr">
        <is>
          <t>Reference Min</t>
        </is>
      </c>
      <c r="I1" s="1" t="inlineStr">
        <is>
          <t>Reference Max</t>
        </is>
      </c>
      <c r="J1" s="1" t="inlineStr">
        <is>
          <t>Result</t>
        </is>
      </c>
    </row>
    <row r="2">
      <c r="A2" t="inlineStr">
        <is>
          <t>S001</t>
        </is>
      </c>
      <c r="B2" t="inlineStr">
        <is>
          <t>Aarav</t>
        </is>
      </c>
      <c r="C2" t="inlineStr">
        <is>
          <t>CBC</t>
        </is>
      </c>
      <c r="D2" t="inlineStr">
        <is>
          <t>2026-06-01</t>
        </is>
      </c>
      <c r="E2" t="inlineStr">
        <is>
          <t>Completed</t>
        </is>
      </c>
      <c r="F2" t="inlineStr">
        <is>
          <t>Tech1</t>
        </is>
      </c>
      <c r="G2" t="n">
        <v>13.5</v>
      </c>
      <c r="H2" t="n">
        <v>12</v>
      </c>
      <c r="I2" t="n">
        <v>16</v>
      </c>
      <c r="J2">
        <f>IF(G2&lt;H2,"Low",IF(G2&gt;I2,"High","Normal"))</f>
        <v/>
      </c>
    </row>
    <row r="3">
      <c r="A3" t="inlineStr">
        <is>
          <t>S002</t>
        </is>
      </c>
      <c r="B3" t="inlineStr">
        <is>
          <t>Diya</t>
        </is>
      </c>
      <c r="C3" t="inlineStr">
        <is>
          <t>Glucose</t>
        </is>
      </c>
      <c r="D3" t="inlineStr">
        <is>
          <t>2026-06-01</t>
        </is>
      </c>
      <c r="E3" t="inlineStr">
        <is>
          <t>Pending</t>
        </is>
      </c>
      <c r="F3" t="inlineStr">
        <is>
          <t>Tech2</t>
        </is>
      </c>
      <c r="G3" t="n">
        <v>110</v>
      </c>
      <c r="H3" t="n">
        <v>70</v>
      </c>
      <c r="I3" t="n">
        <v>110</v>
      </c>
      <c r="J3">
        <f>IF(G3&lt;H3,"Low",IF(G3&gt;I3,"High","Normal"))</f>
        <v/>
      </c>
    </row>
    <row r="4">
      <c r="A4" t="inlineStr">
        <is>
          <t>S003</t>
        </is>
      </c>
      <c r="B4" t="inlineStr">
        <is>
          <t>Rohan</t>
        </is>
      </c>
      <c r="C4" t="inlineStr">
        <is>
          <t>Cholesterol</t>
        </is>
      </c>
      <c r="D4" t="inlineStr">
        <is>
          <t>2026-06-01</t>
        </is>
      </c>
      <c r="E4" t="inlineStr">
        <is>
          <t>Completed</t>
        </is>
      </c>
      <c r="F4" t="inlineStr">
        <is>
          <t>Tech3</t>
        </is>
      </c>
      <c r="G4" t="n">
        <v>220</v>
      </c>
      <c r="H4" t="n">
        <v>125</v>
      </c>
      <c r="I4" t="n">
        <v>200</v>
      </c>
      <c r="J4">
        <f>IF(G4&lt;H4,"Low",IF(G4&gt;I4,"High","Normal"))</f>
        <v/>
      </c>
    </row>
    <row r="5">
      <c r="A5" t="inlineStr">
        <is>
          <t>S004</t>
        </is>
      </c>
      <c r="B5" t="inlineStr">
        <is>
          <t>Anaya</t>
        </is>
      </c>
      <c r="C5" t="inlineStr">
        <is>
          <t>CBC</t>
        </is>
      </c>
      <c r="D5" t="inlineStr">
        <is>
          <t>2026-06-02</t>
        </is>
      </c>
      <c r="E5" t="inlineStr">
        <is>
          <t>Completed</t>
        </is>
      </c>
      <c r="F5" t="inlineStr">
        <is>
          <t>Tech1</t>
        </is>
      </c>
      <c r="G5" t="n">
        <v>11.5</v>
      </c>
      <c r="H5" t="n">
        <v>12</v>
      </c>
      <c r="I5" t="n">
        <v>16</v>
      </c>
      <c r="J5">
        <f>IF(G5&lt;H5,"Low",IF(G5&gt;I5,"High","Normal"))</f>
        <v/>
      </c>
    </row>
    <row r="6">
      <c r="A6" t="inlineStr">
        <is>
          <t>S005</t>
        </is>
      </c>
      <c r="B6" t="inlineStr">
        <is>
          <t>Vivaan</t>
        </is>
      </c>
      <c r="C6" t="inlineStr">
        <is>
          <t>Glucose</t>
        </is>
      </c>
      <c r="D6" t="inlineStr">
        <is>
          <t>2026-06-02</t>
        </is>
      </c>
      <c r="E6" t="inlineStr">
        <is>
          <t>Completed</t>
        </is>
      </c>
      <c r="F6" t="inlineStr">
        <is>
          <t>Tech2</t>
        </is>
      </c>
      <c r="G6" t="n">
        <v>95</v>
      </c>
      <c r="H6" t="n">
        <v>70</v>
      </c>
      <c r="I6" t="n">
        <v>110</v>
      </c>
      <c r="J6">
        <f>IF(G6&lt;H6,"Low",IF(G6&gt;I6,"High","Normal"))</f>
        <v/>
      </c>
    </row>
    <row r="7">
      <c r="A7" t="inlineStr">
        <is>
          <t>S006</t>
        </is>
      </c>
      <c r="B7" t="inlineStr">
        <is>
          <t>Ishita</t>
        </is>
      </c>
      <c r="C7" t="inlineStr">
        <is>
          <t>CBC</t>
        </is>
      </c>
      <c r="D7" t="inlineStr">
        <is>
          <t>2026-06-02</t>
        </is>
      </c>
      <c r="E7" t="inlineStr">
        <is>
          <t>Rejected</t>
        </is>
      </c>
      <c r="F7" t="inlineStr">
        <is>
          <t>Tech1</t>
        </is>
      </c>
      <c r="G7" t="n">
        <v>14</v>
      </c>
      <c r="H7" t="n">
        <v>12</v>
      </c>
      <c r="I7" t="n">
        <v>16</v>
      </c>
      <c r="J7">
        <f>IF(G7&lt;H7,"Low",IF(G7&gt;I7,"High","Normal"))</f>
        <v/>
      </c>
    </row>
    <row r="8">
      <c r="A8" t="inlineStr">
        <is>
          <t>S007</t>
        </is>
      </c>
      <c r="B8" t="inlineStr">
        <is>
          <t>Arjun</t>
        </is>
      </c>
      <c r="C8" t="inlineStr">
        <is>
          <t>Cholesterol</t>
        </is>
      </c>
      <c r="D8" t="inlineStr">
        <is>
          <t>2026-06-03</t>
        </is>
      </c>
      <c r="E8" t="inlineStr">
        <is>
          <t>Completed</t>
        </is>
      </c>
      <c r="F8" t="inlineStr">
        <is>
          <t>Tech3</t>
        </is>
      </c>
      <c r="G8" t="n">
        <v>180</v>
      </c>
      <c r="H8" t="n">
        <v>125</v>
      </c>
      <c r="I8" t="n">
        <v>200</v>
      </c>
      <c r="J8">
        <f>IF(G8&lt;H8,"Low",IF(G8&gt;I8,"High","Normal"))</f>
        <v/>
      </c>
    </row>
    <row r="9">
      <c r="A9" t="inlineStr">
        <is>
          <t>S008</t>
        </is>
      </c>
      <c r="B9" t="inlineStr">
        <is>
          <t>Meera</t>
        </is>
      </c>
      <c r="C9" t="inlineStr">
        <is>
          <t>Glucose</t>
        </is>
      </c>
      <c r="D9" t="inlineStr">
        <is>
          <t>2026-06-03</t>
        </is>
      </c>
      <c r="E9" t="inlineStr">
        <is>
          <t>Completed</t>
        </is>
      </c>
      <c r="F9" t="inlineStr">
        <is>
          <t>Tech2</t>
        </is>
      </c>
      <c r="G9" t="n">
        <v>125</v>
      </c>
      <c r="H9" t="n">
        <v>70</v>
      </c>
      <c r="I9" t="n">
        <v>110</v>
      </c>
      <c r="J9">
        <f>IF(G9&lt;H9,"Low",IF(G9&gt;I9,"High","Normal"))</f>
        <v/>
      </c>
    </row>
    <row r="10">
      <c r="A10" t="inlineStr">
        <is>
          <t>S009</t>
        </is>
      </c>
      <c r="B10" t="inlineStr">
        <is>
          <t>Kabir</t>
        </is>
      </c>
      <c r="C10" t="inlineStr">
        <is>
          <t>CBC</t>
        </is>
      </c>
      <c r="D10" t="inlineStr">
        <is>
          <t>2026-06-03</t>
        </is>
      </c>
      <c r="E10" t="inlineStr">
        <is>
          <t>Pending</t>
        </is>
      </c>
      <c r="F10" t="inlineStr">
        <is>
          <t>Tech1</t>
        </is>
      </c>
      <c r="G10" t="n">
        <v>15</v>
      </c>
      <c r="H10" t="n">
        <v>12</v>
      </c>
      <c r="I10" t="n">
        <v>16</v>
      </c>
      <c r="J10">
        <f>IF(G10&lt;H10,"Low",IF(G10&gt;I10,"High","Normal"))</f>
        <v/>
      </c>
    </row>
    <row r="11">
      <c r="A11" t="inlineStr">
        <is>
          <t>S010</t>
        </is>
      </c>
      <c r="B11" t="inlineStr">
        <is>
          <t>Sara</t>
        </is>
      </c>
      <c r="C11" t="inlineStr">
        <is>
          <t>CBC</t>
        </is>
      </c>
      <c r="D11" t="inlineStr">
        <is>
          <t>2026-06-04</t>
        </is>
      </c>
      <c r="E11" t="inlineStr">
        <is>
          <t>Completed</t>
        </is>
      </c>
      <c r="F11" t="inlineStr">
        <is>
          <t>Tech1</t>
        </is>
      </c>
      <c r="G11" t="n">
        <v>13</v>
      </c>
      <c r="H11" t="n">
        <v>12</v>
      </c>
      <c r="I11" t="n">
        <v>16</v>
      </c>
      <c r="J11">
        <f>IF(G11&lt;H11,"Low",IF(G11&gt;I11,"High","Normal"))</f>
        <v/>
      </c>
    </row>
    <row r="12">
      <c r="A12" t="inlineStr">
        <is>
          <t>S011</t>
        </is>
      </c>
      <c r="B12" t="inlineStr">
        <is>
          <t>Ayaan</t>
        </is>
      </c>
      <c r="C12" t="inlineStr">
        <is>
          <t>Glucose</t>
        </is>
      </c>
      <c r="D12" t="inlineStr">
        <is>
          <t>2026-06-04</t>
        </is>
      </c>
      <c r="E12" t="inlineStr">
        <is>
          <t>Completed</t>
        </is>
      </c>
      <c r="F12" t="inlineStr">
        <is>
          <t>Tech2</t>
        </is>
      </c>
      <c r="G12" t="n">
        <v>88</v>
      </c>
      <c r="H12" t="n">
        <v>70</v>
      </c>
      <c r="I12" t="n">
        <v>110</v>
      </c>
      <c r="J12">
        <f>IF(G12&lt;H12,"Low",IF(G12&gt;I12,"High","Normal"))</f>
        <v/>
      </c>
    </row>
    <row r="13">
      <c r="A13" t="inlineStr">
        <is>
          <t>S012</t>
        </is>
      </c>
      <c r="B13" t="inlineStr">
        <is>
          <t>Kiara</t>
        </is>
      </c>
      <c r="C13" t="inlineStr">
        <is>
          <t>Cholesterol</t>
        </is>
      </c>
      <c r="D13" t="inlineStr">
        <is>
          <t>2026-06-04</t>
        </is>
      </c>
      <c r="E13" t="inlineStr">
        <is>
          <t>Completed</t>
        </is>
      </c>
      <c r="F13" t="inlineStr">
        <is>
          <t>Tech3</t>
        </is>
      </c>
      <c r="G13" t="n">
        <v>205</v>
      </c>
      <c r="H13" t="n">
        <v>125</v>
      </c>
      <c r="I13" t="n">
        <v>200</v>
      </c>
      <c r="J13">
        <f>IF(G13&lt;H13,"Low",IF(G13&gt;I13,"High","Normal"))</f>
        <v/>
      </c>
    </row>
    <row r="14">
      <c r="A14" t="inlineStr">
        <is>
          <t>S013</t>
        </is>
      </c>
      <c r="B14" t="inlineStr">
        <is>
          <t>Reyansh</t>
        </is>
      </c>
      <c r="C14" t="inlineStr">
        <is>
          <t>CBC</t>
        </is>
      </c>
      <c r="D14" t="inlineStr">
        <is>
          <t>2026-06-05</t>
        </is>
      </c>
      <c r="E14" t="inlineStr">
        <is>
          <t>Completed</t>
        </is>
      </c>
      <c r="F14" t="inlineStr">
        <is>
          <t>Tech1</t>
        </is>
      </c>
      <c r="G14" t="n">
        <v>12.8</v>
      </c>
      <c r="H14" t="n">
        <v>12</v>
      </c>
      <c r="I14" t="n">
        <v>16</v>
      </c>
      <c r="J14">
        <f>IF(G14&lt;H14,"Low",IF(G14&gt;I14,"High","Normal"))</f>
        <v/>
      </c>
    </row>
    <row r="15">
      <c r="A15" t="inlineStr">
        <is>
          <t>S014</t>
        </is>
      </c>
      <c r="B15" t="inlineStr">
        <is>
          <t>Myra</t>
        </is>
      </c>
      <c r="C15" t="inlineStr">
        <is>
          <t>Glucose</t>
        </is>
      </c>
      <c r="D15" t="inlineStr">
        <is>
          <t>2026-06-05</t>
        </is>
      </c>
      <c r="E15" t="inlineStr">
        <is>
          <t>Completed</t>
        </is>
      </c>
      <c r="F15" t="inlineStr">
        <is>
          <t>Tech2</t>
        </is>
      </c>
      <c r="G15" t="n">
        <v>99</v>
      </c>
      <c r="H15" t="n">
        <v>70</v>
      </c>
      <c r="I15" t="n">
        <v>110</v>
      </c>
      <c r="J15">
        <f>IF(G15&lt;H15,"Low",IF(G15&gt;I15,"High","Normal"))</f>
        <v/>
      </c>
    </row>
    <row r="16">
      <c r="A16" t="inlineStr">
        <is>
          <t>S015</t>
        </is>
      </c>
      <c r="B16" t="inlineStr">
        <is>
          <t>Advik</t>
        </is>
      </c>
      <c r="C16" t="inlineStr">
        <is>
          <t>CBC</t>
        </is>
      </c>
      <c r="D16" t="inlineStr">
        <is>
          <t>2026-06-05</t>
        </is>
      </c>
      <c r="E16" t="inlineStr">
        <is>
          <t>Completed</t>
        </is>
      </c>
      <c r="F16" t="inlineStr">
        <is>
          <t>Tech1</t>
        </is>
      </c>
      <c r="G16" t="n">
        <v>16.2</v>
      </c>
      <c r="H16" t="n">
        <v>12</v>
      </c>
      <c r="I16" t="n">
        <v>16</v>
      </c>
      <c r="J16">
        <f>IF(G16&lt;H16,"Low",IF(G16&gt;I16,"High","Normal"))</f>
        <v/>
      </c>
    </row>
    <row r="17">
      <c r="A17" t="inlineStr">
        <is>
          <t>S016</t>
        </is>
      </c>
      <c r="B17" t="inlineStr">
        <is>
          <t>Siya</t>
        </is>
      </c>
      <c r="C17" t="inlineStr">
        <is>
          <t>Cholesterol</t>
        </is>
      </c>
      <c r="D17" t="inlineStr">
        <is>
          <t>2026-06-06</t>
        </is>
      </c>
      <c r="E17" t="inlineStr">
        <is>
          <t>Pending</t>
        </is>
      </c>
      <c r="F17" t="inlineStr">
        <is>
          <t>Tech3</t>
        </is>
      </c>
      <c r="G17" t="n">
        <v>175</v>
      </c>
      <c r="H17" t="n">
        <v>125</v>
      </c>
      <c r="I17" t="n">
        <v>200</v>
      </c>
      <c r="J17">
        <f>IF(G17&lt;H17,"Low",IF(G17&gt;I17,"High","Normal"))</f>
        <v/>
      </c>
    </row>
    <row r="18">
      <c r="A18" t="inlineStr">
        <is>
          <t>S017</t>
        </is>
      </c>
      <c r="B18" t="inlineStr">
        <is>
          <t>Atharv</t>
        </is>
      </c>
      <c r="C18" t="inlineStr">
        <is>
          <t>Glucose</t>
        </is>
      </c>
      <c r="D18" t="inlineStr">
        <is>
          <t>2026-06-06</t>
        </is>
      </c>
      <c r="E18" t="inlineStr">
        <is>
          <t>Completed</t>
        </is>
      </c>
      <c r="F18" t="inlineStr">
        <is>
          <t>Tech2</t>
        </is>
      </c>
      <c r="G18" t="n">
        <v>105</v>
      </c>
      <c r="H18" t="n">
        <v>70</v>
      </c>
      <c r="I18" t="n">
        <v>110</v>
      </c>
      <c r="J18">
        <f>IF(G18&lt;H18,"Low",IF(G18&gt;I18,"High","Normal"))</f>
        <v/>
      </c>
    </row>
    <row r="19">
      <c r="A19" t="inlineStr">
        <is>
          <t>S018</t>
        </is>
      </c>
      <c r="B19" t="inlineStr">
        <is>
          <t>Pari</t>
        </is>
      </c>
      <c r="C19" t="inlineStr">
        <is>
          <t>CBC</t>
        </is>
      </c>
      <c r="D19" t="inlineStr">
        <is>
          <t>2026-06-06</t>
        </is>
      </c>
      <c r="E19" t="inlineStr">
        <is>
          <t>Completed</t>
        </is>
      </c>
      <c r="F19" t="inlineStr">
        <is>
          <t>Tech1</t>
        </is>
      </c>
      <c r="G19" t="n">
        <v>10.9</v>
      </c>
      <c r="H19" t="n">
        <v>12</v>
      </c>
      <c r="I19" t="n">
        <v>16</v>
      </c>
      <c r="J19">
        <f>IF(G19&lt;H19,"Low",IF(G19&gt;I19,"High","Normal"))</f>
        <v/>
      </c>
    </row>
    <row r="20">
      <c r="A20" t="inlineStr">
        <is>
          <t>S019</t>
        </is>
      </c>
      <c r="B20" t="inlineStr">
        <is>
          <t>Krish</t>
        </is>
      </c>
      <c r="C20" t="inlineStr">
        <is>
          <t>Cholesterol</t>
        </is>
      </c>
      <c r="D20" t="inlineStr">
        <is>
          <t>2026-06-07</t>
        </is>
      </c>
      <c r="E20" t="inlineStr">
        <is>
          <t>Completed</t>
        </is>
      </c>
      <c r="F20" t="inlineStr">
        <is>
          <t>Tech3</t>
        </is>
      </c>
      <c r="G20" t="n">
        <v>190</v>
      </c>
      <c r="H20" t="n">
        <v>125</v>
      </c>
      <c r="I20" t="n">
        <v>200</v>
      </c>
      <c r="J20">
        <f>IF(G20&lt;H20,"Low",IF(G20&gt;I20,"High","Normal"))</f>
        <v/>
      </c>
    </row>
    <row r="21">
      <c r="A21" t="inlineStr">
        <is>
          <t>S020</t>
        </is>
      </c>
      <c r="B21" t="inlineStr">
        <is>
          <t>Aadhya</t>
        </is>
      </c>
      <c r="C21" t="inlineStr">
        <is>
          <t>Glucose</t>
        </is>
      </c>
      <c r="D21" t="inlineStr">
        <is>
          <t>2026-06-07</t>
        </is>
      </c>
      <c r="E21" t="inlineStr">
        <is>
          <t>Completed</t>
        </is>
      </c>
      <c r="F21" t="inlineStr">
        <is>
          <t>Tech2</t>
        </is>
      </c>
      <c r="G21" t="n">
        <v>115</v>
      </c>
      <c r="H21" t="n">
        <v>70</v>
      </c>
      <c r="I21" t="n">
        <v>110</v>
      </c>
      <c r="J21">
        <f>IF(G21&lt;H21,"Low",IF(G21&gt;I21,"High","Normal"))</f>
        <v/>
      </c>
    </row>
    <row r="22">
      <c r="A22" t="inlineStr">
        <is>
          <t>S021</t>
        </is>
      </c>
      <c r="B22" t="inlineStr">
        <is>
          <t>Dev</t>
        </is>
      </c>
      <c r="C22" t="inlineStr">
        <is>
          <t>CBC</t>
        </is>
      </c>
      <c r="D22" t="inlineStr">
        <is>
          <t>2026-06-07</t>
        </is>
      </c>
      <c r="E22" t="inlineStr">
        <is>
          <t>Completed</t>
        </is>
      </c>
      <c r="F22" t="inlineStr">
        <is>
          <t>Tech1</t>
        </is>
      </c>
      <c r="G22" t="n">
        <v>14.2</v>
      </c>
      <c r="H22" t="n">
        <v>12</v>
      </c>
      <c r="I22" t="n">
        <v>16</v>
      </c>
      <c r="J22">
        <f>IF(G22&lt;H22,"Low",IF(G22&gt;I22,"High","Normal"))</f>
        <v/>
      </c>
    </row>
    <row r="23">
      <c r="A23" t="inlineStr">
        <is>
          <t>S022</t>
        </is>
      </c>
      <c r="B23" t="inlineStr">
        <is>
          <t>Navya</t>
        </is>
      </c>
      <c r="C23" t="inlineStr">
        <is>
          <t>CBC</t>
        </is>
      </c>
      <c r="D23" t="inlineStr">
        <is>
          <t>2026-06-08</t>
        </is>
      </c>
      <c r="E23" t="inlineStr">
        <is>
          <t>Rejected</t>
        </is>
      </c>
      <c r="F23" t="inlineStr">
        <is>
          <t>Tech1</t>
        </is>
      </c>
      <c r="G23" t="n">
        <v>13.1</v>
      </c>
      <c r="H23" t="n">
        <v>12</v>
      </c>
      <c r="I23" t="n">
        <v>16</v>
      </c>
      <c r="J23">
        <f>IF(G23&lt;H23,"Low",IF(G23&gt;I23,"High","Normal"))</f>
        <v/>
      </c>
    </row>
    <row r="24">
      <c r="A24" t="inlineStr">
        <is>
          <t>S023</t>
        </is>
      </c>
      <c r="B24" t="inlineStr">
        <is>
          <t>Veer</t>
        </is>
      </c>
      <c r="C24" t="inlineStr">
        <is>
          <t>Glucose</t>
        </is>
      </c>
      <c r="D24" t="inlineStr">
        <is>
          <t>2026-06-08</t>
        </is>
      </c>
      <c r="E24" t="inlineStr">
        <is>
          <t>Completed</t>
        </is>
      </c>
      <c r="F24" t="inlineStr">
        <is>
          <t>Tech2</t>
        </is>
      </c>
      <c r="G24" t="n">
        <v>102</v>
      </c>
      <c r="H24" t="n">
        <v>70</v>
      </c>
      <c r="I24" t="n">
        <v>110</v>
      </c>
      <c r="J24">
        <f>IF(G24&lt;H24,"Low",IF(G24&gt;I24,"High","Normal"))</f>
        <v/>
      </c>
    </row>
    <row r="25">
      <c r="A25" t="inlineStr">
        <is>
          <t>S024</t>
        </is>
      </c>
      <c r="B25" t="inlineStr">
        <is>
          <t>Anvi</t>
        </is>
      </c>
      <c r="C25" t="inlineStr">
        <is>
          <t>Cholesterol</t>
        </is>
      </c>
      <c r="D25" t="inlineStr">
        <is>
          <t>2026-06-08</t>
        </is>
      </c>
      <c r="E25" t="inlineStr">
        <is>
          <t>Completed</t>
        </is>
      </c>
      <c r="F25" t="inlineStr">
        <is>
          <t>Tech3</t>
        </is>
      </c>
      <c r="G25" t="n">
        <v>198</v>
      </c>
      <c r="H25" t="n">
        <v>125</v>
      </c>
      <c r="I25" t="n">
        <v>200</v>
      </c>
      <c r="J25">
        <f>IF(G25&lt;H25,"Low",IF(G25&gt;I25,"High","Normal"))</f>
        <v/>
      </c>
    </row>
    <row r="26">
      <c r="A26" t="inlineStr">
        <is>
          <t>S025</t>
        </is>
      </c>
      <c r="B26" t="inlineStr">
        <is>
          <t>Yuvan</t>
        </is>
      </c>
      <c r="C26" t="inlineStr">
        <is>
          <t>CBC</t>
        </is>
      </c>
      <c r="D26" t="inlineStr">
        <is>
          <t>2026-06-09</t>
        </is>
      </c>
      <c r="E26" t="inlineStr">
        <is>
          <t>Completed</t>
        </is>
      </c>
      <c r="F26" t="inlineStr">
        <is>
          <t>Tech1</t>
        </is>
      </c>
      <c r="G26" t="n">
        <v>15.4</v>
      </c>
      <c r="H26" t="n">
        <v>12</v>
      </c>
      <c r="I26" t="n">
        <v>16</v>
      </c>
      <c r="J26">
        <f>IF(G26&lt;H26,"Low",IF(G26&gt;I26,"High","Normal"))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Patient Sample Tracking Dashboard</t>
        </is>
      </c>
    </row>
    <row r="3">
      <c r="A3" t="inlineStr">
        <is>
          <t>Total Samples</t>
        </is>
      </c>
      <c r="B3">
        <f>COUNTA('Sample Data'!A2:A100)</f>
        <v/>
      </c>
    </row>
    <row r="4">
      <c r="A4" t="inlineStr">
        <is>
          <t>Completed Samples</t>
        </is>
      </c>
      <c r="B4">
        <f>COUNTIF('Sample Data'!E:E,"Completed")</f>
        <v/>
      </c>
    </row>
    <row r="5">
      <c r="A5" t="inlineStr">
        <is>
          <t>Pending Samples</t>
        </is>
      </c>
      <c r="B5">
        <f>COUNTIF('Sample Data'!E:E,"Pending")</f>
        <v/>
      </c>
    </row>
    <row r="6">
      <c r="A6" t="inlineStr">
        <is>
          <t>Rejected Samples</t>
        </is>
      </c>
      <c r="B6">
        <f>COUNTIF('Sample Data'!E:E,"Rejected")</f>
        <v/>
      </c>
    </row>
    <row r="7">
      <c r="A7" t="inlineStr">
        <is>
          <t>Average Result Value</t>
        </is>
      </c>
      <c r="B7">
        <f>AVERAGE('Sample Data'!G2:G26)</f>
        <v/>
      </c>
    </row>
    <row r="8">
      <c r="A8" t="inlineStr">
        <is>
          <t>Maximum Result</t>
        </is>
      </c>
      <c r="B8">
        <f>MAX('Sample Data'!G2:G26)</f>
        <v/>
      </c>
    </row>
    <row r="9">
      <c r="A9" t="inlineStr">
        <is>
          <t>Minimum Result</t>
        </is>
      </c>
      <c r="B9">
        <f>MIN('Sample Data'!G2:G26)</f>
        <v/>
      </c>
    </row>
    <row r="10">
      <c r="A10" t="inlineStr">
        <is>
          <t>Normal Results</t>
        </is>
      </c>
      <c r="B10">
        <f>COUNTIF('Sample Data'!J:J,"Normal")</f>
        <v/>
      </c>
    </row>
    <row r="11">
      <c r="A11" t="inlineStr">
        <is>
          <t>High Results</t>
        </is>
      </c>
      <c r="B11">
        <f>COUNTIF('Sample Data'!J:J,"High")</f>
        <v/>
      </c>
    </row>
    <row r="12">
      <c r="A12" t="inlineStr">
        <is>
          <t>Low Results</t>
        </is>
      </c>
      <c r="B12">
        <f>COUNTIF('Sample Data'!J:J,"Low")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2026-06-10T19:23:23Z</dcterms:created>
  <dcterms:modified xmlns:dcterms="http://purl.org/dc/terms/" xmlns:xsi="http://www.w3.org/2001/XMLSchema-instance" xsi:type="dcterms:W3CDTF">2026-06-10T19:23:23Z</dcterms:modified>
</cp:coreProperties>
</file>